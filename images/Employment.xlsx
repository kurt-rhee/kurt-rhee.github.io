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.rhee\Desktop\gitpage\docs\images\"/>
    </mc:Choice>
  </mc:AlternateContent>
  <xr:revisionPtr revIDLastSave="0" documentId="13_ncr:1_{66D09E2C-F203-42BD-B5EF-EDAE4BF01E82}" xr6:coauthVersionLast="41" xr6:coauthVersionMax="41" xr10:uidLastSave="{00000000-0000-0000-0000-000000000000}"/>
  <bookViews>
    <workbookView xWindow="-120" yWindow="-120" windowWidth="29040" windowHeight="15840" xr2:uid="{C666FD2C-32AC-43EC-BEA7-25CE32E05CBB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4" i="1" l="1"/>
  <c r="D43" i="1"/>
  <c r="D42" i="1" l="1"/>
  <c r="D41" i="1"/>
  <c r="D40" i="1"/>
  <c r="D38" i="1"/>
  <c r="C39" i="1"/>
  <c r="D39" i="1" s="1"/>
  <c r="C34" i="1"/>
  <c r="D34" i="1" s="1"/>
  <c r="E36" i="1"/>
  <c r="D36" i="1" s="1"/>
  <c r="D33" i="1"/>
  <c r="D37" i="1"/>
  <c r="D35" i="1"/>
  <c r="E4" i="1"/>
  <c r="D4" i="1" s="1"/>
  <c r="D6" i="1" l="1"/>
  <c r="C6" i="1"/>
  <c r="C5" i="1"/>
  <c r="D5" i="1" s="1"/>
  <c r="C10" i="1"/>
  <c r="D10" i="1" s="1"/>
  <c r="D7" i="1"/>
  <c r="D8" i="1"/>
  <c r="D9" i="1"/>
  <c r="E3" i="1"/>
  <c r="D3" i="1" s="1"/>
</calcChain>
</file>

<file path=xl/sharedStrings.xml><?xml version="1.0" encoding="utf-8"?>
<sst xmlns="http://schemas.openxmlformats.org/spreadsheetml/2006/main" count="34" uniqueCount="31">
  <si>
    <t>UCSD</t>
  </si>
  <si>
    <t>Sunrun</t>
  </si>
  <si>
    <t>PV Systems Designer</t>
  </si>
  <si>
    <t>Sr. PV Systems Designer</t>
  </si>
  <si>
    <t>Supervisor PV Systems Design</t>
  </si>
  <si>
    <t>EDFR</t>
  </si>
  <si>
    <t>Solar Engineer</t>
  </si>
  <si>
    <t>start</t>
  </si>
  <si>
    <t>end</t>
  </si>
  <si>
    <t>column</t>
  </si>
  <si>
    <t>MechEng. Intern</t>
  </si>
  <si>
    <t>BioEng. Intern</t>
  </si>
  <si>
    <t>B.Sc. NanoEngineering</t>
  </si>
  <si>
    <t>Intern</t>
  </si>
  <si>
    <t>Minor Literature</t>
  </si>
  <si>
    <t>CAD</t>
  </si>
  <si>
    <t>AutoCAD</t>
  </si>
  <si>
    <t>Solidworks</t>
  </si>
  <si>
    <t>C++</t>
  </si>
  <si>
    <t>Matlab</t>
  </si>
  <si>
    <t>Python</t>
  </si>
  <si>
    <t>Performance</t>
  </si>
  <si>
    <t>PVSyst</t>
  </si>
  <si>
    <t>SAM</t>
  </si>
  <si>
    <t>PlantPredict</t>
  </si>
  <si>
    <t>PVLib</t>
  </si>
  <si>
    <t>Dev</t>
  </si>
  <si>
    <t>SQL</t>
  </si>
  <si>
    <t>Management</t>
  </si>
  <si>
    <t>Skills</t>
  </si>
  <si>
    <t>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</si>
</sst>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AEE4"/>
      <color rgb="FF000032"/>
      <color rgb="FFE85811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Employment History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2"/>
          <c:order val="0"/>
          <c:tx>
            <c:strRef>
              <c:f>Sheet1!$C$2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</c:spPr>
          <c:invertIfNegative val="0"/>
          <c:cat>
            <c:multiLvlStrRef>
              <c:f>Sheet1!$A$3:$B$10</c:f>
              <c:multiLvlStrCache>
                <c:ptCount val="8"/>
                <c:lvl>
                  <c:pt idx="0">
                    <c:v>B.Sc. NanoEngineering</c:v>
                  </c:pt>
                  <c:pt idx="1">
                    <c:v>Minor Literature</c:v>
                  </c:pt>
                  <c:pt idx="2">
                    <c:v>MechEng. Intern</c:v>
                  </c:pt>
                  <c:pt idx="3">
                    <c:v>BioEng. Intern</c:v>
                  </c:pt>
                  <c:pt idx="4">
                    <c:v>PV Systems Designer</c:v>
                  </c:pt>
                  <c:pt idx="5">
                    <c:v>Sr. PV Systems Designer</c:v>
                  </c:pt>
                  <c:pt idx="6">
                    <c:v>Supervisor PV Systems Design</c:v>
                  </c:pt>
                  <c:pt idx="7">
                    <c:v>Solar Engineer</c:v>
                  </c:pt>
                </c:lvl>
                <c:lvl>
                  <c:pt idx="0">
                    <c:v>UCSD</c:v>
                  </c:pt>
                  <c:pt idx="2">
                    <c:v>Intern</c:v>
                  </c:pt>
                  <c:pt idx="4">
                    <c:v>Sunrun</c:v>
                  </c:pt>
                  <c:pt idx="7">
                    <c:v>EDFR</c:v>
                  </c:pt>
                </c:lvl>
              </c:multiLvlStrCache>
            </c:multiLvlStrRef>
          </c:cat>
          <c:val>
            <c:numRef>
              <c:f>Sheet1!$C$3:$C$10</c:f>
              <c:numCache>
                <c:formatCode>General</c:formatCode>
                <c:ptCount val="8"/>
                <c:pt idx="0">
                  <c:v>2010.75</c:v>
                </c:pt>
                <c:pt idx="1">
                  <c:v>2010.75</c:v>
                </c:pt>
                <c:pt idx="2">
                  <c:v>2014.5833333333333</c:v>
                </c:pt>
                <c:pt idx="3">
                  <c:v>2014.8333333333333</c:v>
                </c:pt>
                <c:pt idx="4">
                  <c:v>2015.5</c:v>
                </c:pt>
                <c:pt idx="5">
                  <c:v>2015.75</c:v>
                </c:pt>
                <c:pt idx="6">
                  <c:v>2016.25</c:v>
                </c:pt>
                <c:pt idx="7">
                  <c:v>2016.8333333333333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4071-4C26-9BFF-A3CCA75DD1D4}"/>
            </c:ext>
          </c:extLst>
        </c:ser>
        <c:ser>
          <c:idx val="3"/>
          <c:order val="1"/>
          <c:tx>
            <c:strRef>
              <c:f>Sheet1!$D$2</c:f>
              <c:strCache>
                <c:ptCount val="1"/>
                <c:pt idx="0">
                  <c:v>column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000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4071-4C26-9BFF-A3CCA75DD1D4}"/>
              </c:ext>
            </c:extLst>
          </c:dPt>
          <c:dPt>
            <c:idx val="1"/>
            <c:invertIfNegative val="0"/>
            <c:bubble3D val="0"/>
            <c:spPr>
              <a:solidFill>
                <a:srgbClr val="0000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4071-4C26-9BFF-A3CCA75DD1D4}"/>
              </c:ext>
            </c:extLst>
          </c:dPt>
          <c:dPt>
            <c:idx val="2"/>
            <c:invertIfNegative val="0"/>
            <c:bubble3D val="0"/>
            <c:spPr>
              <a:solidFill>
                <a:srgbClr val="0000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4071-4C26-9BFF-A3CCA75DD1D4}"/>
              </c:ext>
            </c:extLst>
          </c:dPt>
          <c:dPt>
            <c:idx val="3"/>
            <c:invertIfNegative val="0"/>
            <c:bubble3D val="0"/>
            <c:spPr>
              <a:solidFill>
                <a:srgbClr val="0000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4071-4C26-9BFF-A3CCA75DD1D4}"/>
              </c:ext>
            </c:extLst>
          </c:dPt>
          <c:dPt>
            <c:idx val="4"/>
            <c:invertIfNegative val="0"/>
            <c:bubble3D val="0"/>
            <c:spPr>
              <a:solidFill>
                <a:srgbClr val="04AEE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4071-4C26-9BFF-A3CCA75DD1D4}"/>
              </c:ext>
            </c:extLst>
          </c:dPt>
          <c:dPt>
            <c:idx val="5"/>
            <c:invertIfNegative val="0"/>
            <c:bubble3D val="0"/>
            <c:spPr>
              <a:solidFill>
                <a:srgbClr val="04AEE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4071-4C26-9BFF-A3CCA75DD1D4}"/>
              </c:ext>
            </c:extLst>
          </c:dPt>
          <c:dPt>
            <c:idx val="6"/>
            <c:invertIfNegative val="0"/>
            <c:bubble3D val="0"/>
            <c:spPr>
              <a:solidFill>
                <a:srgbClr val="04AEE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4071-4C26-9BFF-A3CCA75DD1D4}"/>
              </c:ext>
            </c:extLst>
          </c:dPt>
          <c:dPt>
            <c:idx val="7"/>
            <c:invertIfNegative val="0"/>
            <c:bubble3D val="0"/>
            <c:spPr>
              <a:solidFill>
                <a:srgbClr val="E85811"/>
              </a:solidFill>
            </c:spPr>
            <c:extLst>
              <c:ext xmlns:c16="http://schemas.microsoft.com/office/drawing/2014/chart" uri="{C3380CC4-5D6E-409C-BE32-E72D297353CC}">
                <c16:uniqueId val="{0000001C-7603-41D6-B713-A140346D966A}"/>
              </c:ext>
            </c:extLst>
          </c:dPt>
          <c:cat>
            <c:multiLvlStrRef>
              <c:f>Sheet1!$A$3:$B$10</c:f>
              <c:multiLvlStrCache>
                <c:ptCount val="8"/>
                <c:lvl>
                  <c:pt idx="0">
                    <c:v>B.Sc. NanoEngineering</c:v>
                  </c:pt>
                  <c:pt idx="1">
                    <c:v>Minor Literature</c:v>
                  </c:pt>
                  <c:pt idx="2">
                    <c:v>MechEng. Intern</c:v>
                  </c:pt>
                  <c:pt idx="3">
                    <c:v>BioEng. Intern</c:v>
                  </c:pt>
                  <c:pt idx="4">
                    <c:v>PV Systems Designer</c:v>
                  </c:pt>
                  <c:pt idx="5">
                    <c:v>Sr. PV Systems Designer</c:v>
                  </c:pt>
                  <c:pt idx="6">
                    <c:v>Supervisor PV Systems Design</c:v>
                  </c:pt>
                  <c:pt idx="7">
                    <c:v>Solar Engineer</c:v>
                  </c:pt>
                </c:lvl>
                <c:lvl>
                  <c:pt idx="0">
                    <c:v>UCSD</c:v>
                  </c:pt>
                  <c:pt idx="2">
                    <c:v>Intern</c:v>
                  </c:pt>
                  <c:pt idx="4">
                    <c:v>Sunrun</c:v>
                  </c:pt>
                  <c:pt idx="7">
                    <c:v>EDFR</c:v>
                  </c:pt>
                </c:lvl>
              </c:multiLvlStrCache>
            </c:multiLvlStrRef>
          </c:cat>
          <c:val>
            <c:numRef>
              <c:f>Sheet1!$D$3:$D$10</c:f>
              <c:numCache>
                <c:formatCode>General</c:formatCode>
                <c:ptCount val="8"/>
                <c:pt idx="0">
                  <c:v>4.75</c:v>
                </c:pt>
                <c:pt idx="1">
                  <c:v>4.75</c:v>
                </c:pt>
                <c:pt idx="2">
                  <c:v>0.41666666666674246</c:v>
                </c:pt>
                <c:pt idx="3">
                  <c:v>0.16666666666674246</c:v>
                </c:pt>
                <c:pt idx="4">
                  <c:v>0.25</c:v>
                </c:pt>
                <c:pt idx="5">
                  <c:v>0.5</c:v>
                </c:pt>
                <c:pt idx="6">
                  <c:v>0.5</c:v>
                </c:pt>
                <c:pt idx="7">
                  <c:v>2.1666666666667425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4071-4C26-9BFF-A3CCA75DD1D4}"/>
            </c:ext>
          </c:extLst>
        </c:ser>
        <c:ser>
          <c:idx val="0"/>
          <c:order val="2"/>
          <c:tx>
            <c:strRef>
              <c:f>Sheet1!$C$2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Sheet1!$A$3:$B$10</c:f>
              <c:multiLvlStrCache>
                <c:ptCount val="8"/>
                <c:lvl>
                  <c:pt idx="0">
                    <c:v>B.Sc. NanoEngineering</c:v>
                  </c:pt>
                  <c:pt idx="1">
                    <c:v>Minor Literature</c:v>
                  </c:pt>
                  <c:pt idx="2">
                    <c:v>MechEng. Intern</c:v>
                  </c:pt>
                  <c:pt idx="3">
                    <c:v>BioEng. Intern</c:v>
                  </c:pt>
                  <c:pt idx="4">
                    <c:v>PV Systems Designer</c:v>
                  </c:pt>
                  <c:pt idx="5">
                    <c:v>Sr. PV Systems Designer</c:v>
                  </c:pt>
                  <c:pt idx="6">
                    <c:v>Supervisor PV Systems Design</c:v>
                  </c:pt>
                  <c:pt idx="7">
                    <c:v>Solar Engineer</c:v>
                  </c:pt>
                </c:lvl>
                <c:lvl>
                  <c:pt idx="0">
                    <c:v>UCSD</c:v>
                  </c:pt>
                  <c:pt idx="2">
                    <c:v>Intern</c:v>
                  </c:pt>
                  <c:pt idx="4">
                    <c:v>Sunrun</c:v>
                  </c:pt>
                  <c:pt idx="7">
                    <c:v>EDFR</c:v>
                  </c:pt>
                </c:lvl>
              </c:multiLvlStrCache>
            </c:multiLvlStrRef>
          </c:cat>
          <c:val>
            <c:numRef>
              <c:f>Sheet1!$C$3:$C$10</c:f>
              <c:numCache>
                <c:formatCode>General</c:formatCode>
                <c:ptCount val="8"/>
                <c:pt idx="0">
                  <c:v>2010.75</c:v>
                </c:pt>
                <c:pt idx="1">
                  <c:v>2010.75</c:v>
                </c:pt>
                <c:pt idx="2">
                  <c:v>2014.5833333333333</c:v>
                </c:pt>
                <c:pt idx="3">
                  <c:v>2014.8333333333333</c:v>
                </c:pt>
                <c:pt idx="4">
                  <c:v>2015.5</c:v>
                </c:pt>
                <c:pt idx="5">
                  <c:v>2015.75</c:v>
                </c:pt>
                <c:pt idx="6">
                  <c:v>2016.25</c:v>
                </c:pt>
                <c:pt idx="7">
                  <c:v>2016.8333333333333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071-4C26-9BFF-A3CCA75DD1D4}"/>
            </c:ext>
          </c:extLst>
        </c:ser>
        <c:ser>
          <c:idx val="1"/>
          <c:order val="3"/>
          <c:tx>
            <c:strRef>
              <c:f>Sheet1!$D$2</c:f>
              <c:strCache>
                <c:ptCount val="1"/>
                <c:pt idx="0">
                  <c:v>column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00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4071-4C26-9BFF-A3CCA75DD1D4}"/>
              </c:ext>
            </c:extLst>
          </c:dPt>
          <c:dPt>
            <c:idx val="1"/>
            <c:invertIfNegative val="0"/>
            <c:bubble3D val="0"/>
            <c:spPr>
              <a:solidFill>
                <a:srgbClr val="0000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4071-4C26-9BFF-A3CCA75DD1D4}"/>
              </c:ext>
            </c:extLst>
          </c:dPt>
          <c:dPt>
            <c:idx val="2"/>
            <c:invertIfNegative val="0"/>
            <c:bubble3D val="0"/>
            <c:spPr>
              <a:solidFill>
                <a:srgbClr val="0000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4071-4C26-9BFF-A3CCA75DD1D4}"/>
              </c:ext>
            </c:extLst>
          </c:dPt>
          <c:dPt>
            <c:idx val="3"/>
            <c:invertIfNegative val="0"/>
            <c:bubble3D val="0"/>
            <c:spPr>
              <a:solidFill>
                <a:srgbClr val="04AEE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4071-4C26-9BFF-A3CCA75DD1D4}"/>
              </c:ext>
            </c:extLst>
          </c:dPt>
          <c:dPt>
            <c:idx val="4"/>
            <c:invertIfNegative val="0"/>
            <c:bubble3D val="0"/>
            <c:spPr>
              <a:solidFill>
                <a:srgbClr val="04AEE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4071-4C26-9BFF-A3CCA75DD1D4}"/>
              </c:ext>
            </c:extLst>
          </c:dPt>
          <c:dPt>
            <c:idx val="5"/>
            <c:invertIfNegative val="0"/>
            <c:bubble3D val="0"/>
            <c:spPr>
              <a:solidFill>
                <a:srgbClr val="04AEE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4071-4C26-9BFF-A3CCA75DD1D4}"/>
              </c:ext>
            </c:extLst>
          </c:dPt>
          <c:dPt>
            <c:idx val="6"/>
            <c:invertIfNegative val="0"/>
            <c:bubble3D val="0"/>
            <c:spPr>
              <a:solidFill>
                <a:srgbClr val="E858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4071-4C26-9BFF-A3CCA75DD1D4}"/>
              </c:ext>
            </c:extLst>
          </c:dPt>
          <c:cat>
            <c:multiLvlStrRef>
              <c:f>Sheet1!$A$3:$B$10</c:f>
              <c:multiLvlStrCache>
                <c:ptCount val="8"/>
                <c:lvl>
                  <c:pt idx="0">
                    <c:v>B.Sc. NanoEngineering</c:v>
                  </c:pt>
                  <c:pt idx="1">
                    <c:v>Minor Literature</c:v>
                  </c:pt>
                  <c:pt idx="2">
                    <c:v>MechEng. Intern</c:v>
                  </c:pt>
                  <c:pt idx="3">
                    <c:v>BioEng. Intern</c:v>
                  </c:pt>
                  <c:pt idx="4">
                    <c:v>PV Systems Designer</c:v>
                  </c:pt>
                  <c:pt idx="5">
                    <c:v>Sr. PV Systems Designer</c:v>
                  </c:pt>
                  <c:pt idx="6">
                    <c:v>Supervisor PV Systems Design</c:v>
                  </c:pt>
                  <c:pt idx="7">
                    <c:v>Solar Engineer</c:v>
                  </c:pt>
                </c:lvl>
                <c:lvl>
                  <c:pt idx="0">
                    <c:v>UCSD</c:v>
                  </c:pt>
                  <c:pt idx="2">
                    <c:v>Intern</c:v>
                  </c:pt>
                  <c:pt idx="4">
                    <c:v>Sunrun</c:v>
                  </c:pt>
                  <c:pt idx="7">
                    <c:v>EDFR</c:v>
                  </c:pt>
                </c:lvl>
              </c:multiLvlStrCache>
            </c:multiLvlStrRef>
          </c:cat>
          <c:val>
            <c:numRef>
              <c:f>Sheet1!$D$3:$D$10</c:f>
              <c:numCache>
                <c:formatCode>General</c:formatCode>
                <c:ptCount val="8"/>
                <c:pt idx="0">
                  <c:v>4.75</c:v>
                </c:pt>
                <c:pt idx="1">
                  <c:v>4.75</c:v>
                </c:pt>
                <c:pt idx="2">
                  <c:v>0.41666666666674246</c:v>
                </c:pt>
                <c:pt idx="3">
                  <c:v>0.16666666666674246</c:v>
                </c:pt>
                <c:pt idx="4">
                  <c:v>0.25</c:v>
                </c:pt>
                <c:pt idx="5">
                  <c:v>0.5</c:v>
                </c:pt>
                <c:pt idx="6">
                  <c:v>0.5</c:v>
                </c:pt>
                <c:pt idx="7">
                  <c:v>2.1666666666667425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4071-4C26-9BFF-A3CCA75DD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2066424"/>
        <c:axId val="492064128"/>
      </c:barChart>
      <c:valAx>
        <c:axId val="492064128"/>
        <c:scaling>
          <c:orientation val="minMax"/>
          <c:max val="2020"/>
          <c:min val="20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066424"/>
        <c:crosses val="max"/>
        <c:crossBetween val="between"/>
      </c:valAx>
      <c:catAx>
        <c:axId val="492066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064128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317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Skillsets &amp; Tools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multiLvlStrRef>
              <c:f>Sheet1!$A$33:$B$44</c:f>
              <c:multiLvlStrCache>
                <c:ptCount val="12"/>
                <c:lvl>
                  <c:pt idx="0">
                    <c:v>AutoCAD</c:v>
                  </c:pt>
                  <c:pt idx="1">
                    <c:v>Solidworks</c:v>
                  </c:pt>
                  <c:pt idx="2">
                    <c:v>C++</c:v>
                  </c:pt>
                  <c:pt idx="3">
                    <c:v>Matlab</c:v>
                  </c:pt>
                  <c:pt idx="4">
                    <c:v>Python</c:v>
                  </c:pt>
                  <c:pt idx="5">
                    <c:v>SQL</c:v>
                  </c:pt>
                  <c:pt idx="6">
                    <c:v>PVSyst</c:v>
                  </c:pt>
                  <c:pt idx="7">
                    <c:v>PlantPredict</c:v>
                  </c:pt>
                  <c:pt idx="8">
                    <c:v>PVLib</c:v>
                  </c:pt>
                  <c:pt idx="9">
                    <c:v>SAM</c:v>
                  </c:pt>
                  <c:pt idx="10">
                    <c:v>Management</c:v>
                  </c:pt>
                  <c:pt idx="11">
                    <c:v>Training</c:v>
                  </c:pt>
                </c:lvl>
                <c:lvl>
                  <c:pt idx="0">
                    <c:v>CAD</c:v>
                  </c:pt>
                  <c:pt idx="2">
                    <c:v>Dev</c:v>
                  </c:pt>
                  <c:pt idx="6">
                    <c:v>Performance</c:v>
                  </c:pt>
                  <c:pt idx="10">
                    <c:v>Skills</c:v>
                  </c:pt>
                </c:lvl>
              </c:multiLvlStrCache>
            </c:multiLvlStrRef>
          </c:cat>
          <c:val>
            <c:numRef>
              <c:f>Sheet1!$C$33:$C$44</c:f>
              <c:numCache>
                <c:formatCode>General</c:formatCode>
                <c:ptCount val="12"/>
                <c:pt idx="0">
                  <c:v>2015.5</c:v>
                </c:pt>
                <c:pt idx="1">
                  <c:v>2014.5833333333333</c:v>
                </c:pt>
                <c:pt idx="2">
                  <c:v>2010.75</c:v>
                </c:pt>
                <c:pt idx="3">
                  <c:v>2010.75</c:v>
                </c:pt>
                <c:pt idx="4">
                  <c:v>2014</c:v>
                </c:pt>
                <c:pt idx="5">
                  <c:v>2018</c:v>
                </c:pt>
                <c:pt idx="6">
                  <c:v>2016.8333333333333</c:v>
                </c:pt>
                <c:pt idx="7">
                  <c:v>2018</c:v>
                </c:pt>
                <c:pt idx="8">
                  <c:v>2018</c:v>
                </c:pt>
                <c:pt idx="9">
                  <c:v>2018</c:v>
                </c:pt>
                <c:pt idx="10">
                  <c:v>2016.25</c:v>
                </c:pt>
                <c:pt idx="11">
                  <c:v>2015.75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C2-4124-A89A-0C8BDA511A44}"/>
            </c:ext>
          </c:extLst>
        </c:ser>
        <c:ser>
          <c:idx val="1"/>
          <c:order val="1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00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EC2-4124-A89A-0C8BDA511A44}"/>
              </c:ext>
            </c:extLst>
          </c:dPt>
          <c:dPt>
            <c:idx val="1"/>
            <c:invertIfNegative val="0"/>
            <c:bubble3D val="0"/>
            <c:spPr>
              <a:solidFill>
                <a:srgbClr val="0000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EC2-4124-A89A-0C8BDA511A4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EC2-4124-A89A-0C8BDA511A4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EC2-4124-A89A-0C8BDA511A4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EC2-4124-A89A-0C8BDA511A4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EC2-4124-A89A-0C8BDA511A44}"/>
              </c:ext>
            </c:extLst>
          </c:dPt>
          <c:dPt>
            <c:idx val="6"/>
            <c:invertIfNegative val="0"/>
            <c:bubble3D val="0"/>
            <c:spPr>
              <a:solidFill>
                <a:srgbClr val="0000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FEC2-4124-A89A-0C8BDA511A44}"/>
              </c:ext>
            </c:extLst>
          </c:dPt>
          <c:dPt>
            <c:idx val="7"/>
            <c:invertIfNegative val="0"/>
            <c:bubble3D val="0"/>
            <c:spPr>
              <a:solidFill>
                <a:srgbClr val="0000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FEC2-4124-A89A-0C8BDA511A44}"/>
              </c:ext>
            </c:extLst>
          </c:dPt>
          <c:dPt>
            <c:idx val="8"/>
            <c:invertIfNegative val="0"/>
            <c:bubble3D val="0"/>
            <c:spPr>
              <a:solidFill>
                <a:srgbClr val="0000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EC2-4124-A89A-0C8BDA511A44}"/>
              </c:ext>
            </c:extLst>
          </c:dPt>
          <c:dPt>
            <c:idx val="9"/>
            <c:invertIfNegative val="0"/>
            <c:bubble3D val="0"/>
            <c:spPr>
              <a:solidFill>
                <a:srgbClr val="0000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A604-4C1A-8464-AE50CBC7A95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047-4618-9985-C4D8F387856B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A047-4618-9985-C4D8F387856B}"/>
              </c:ext>
            </c:extLst>
          </c:dPt>
          <c:cat>
            <c:multiLvlStrRef>
              <c:f>Sheet1!$A$33:$B$44</c:f>
              <c:multiLvlStrCache>
                <c:ptCount val="12"/>
                <c:lvl>
                  <c:pt idx="0">
                    <c:v>AutoCAD</c:v>
                  </c:pt>
                  <c:pt idx="1">
                    <c:v>Solidworks</c:v>
                  </c:pt>
                  <c:pt idx="2">
                    <c:v>C++</c:v>
                  </c:pt>
                  <c:pt idx="3">
                    <c:v>Matlab</c:v>
                  </c:pt>
                  <c:pt idx="4">
                    <c:v>Python</c:v>
                  </c:pt>
                  <c:pt idx="5">
                    <c:v>SQL</c:v>
                  </c:pt>
                  <c:pt idx="6">
                    <c:v>PVSyst</c:v>
                  </c:pt>
                  <c:pt idx="7">
                    <c:v>PlantPredict</c:v>
                  </c:pt>
                  <c:pt idx="8">
                    <c:v>PVLib</c:v>
                  </c:pt>
                  <c:pt idx="9">
                    <c:v>SAM</c:v>
                  </c:pt>
                  <c:pt idx="10">
                    <c:v>Management</c:v>
                  </c:pt>
                  <c:pt idx="11">
                    <c:v>Training</c:v>
                  </c:pt>
                </c:lvl>
                <c:lvl>
                  <c:pt idx="0">
                    <c:v>CAD</c:v>
                  </c:pt>
                  <c:pt idx="2">
                    <c:v>Dev</c:v>
                  </c:pt>
                  <c:pt idx="6">
                    <c:v>Performance</c:v>
                  </c:pt>
                  <c:pt idx="10">
                    <c:v>Skills</c:v>
                  </c:pt>
                </c:lvl>
              </c:multiLvlStrCache>
            </c:multiLvlStrRef>
          </c:cat>
          <c:val>
            <c:numRef>
              <c:f>Sheet1!$D$33:$D$44</c:f>
              <c:numCache>
                <c:formatCode>General</c:formatCode>
                <c:ptCount val="12"/>
                <c:pt idx="0">
                  <c:v>3.5</c:v>
                </c:pt>
                <c:pt idx="1">
                  <c:v>0.41666666666674246</c:v>
                </c:pt>
                <c:pt idx="2">
                  <c:v>0.25</c:v>
                </c:pt>
                <c:pt idx="3">
                  <c:v>4.75</c:v>
                </c:pt>
                <c:pt idx="4">
                  <c:v>5</c:v>
                </c:pt>
                <c:pt idx="5">
                  <c:v>1</c:v>
                </c:pt>
                <c:pt idx="6">
                  <c:v>2.1666666666667425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0.5</c:v>
                </c:pt>
                <c:pt idx="11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EC2-4124-A89A-0C8BDA511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2066424"/>
        <c:axId val="492064128"/>
      </c:barChart>
      <c:valAx>
        <c:axId val="492064128"/>
        <c:scaling>
          <c:orientation val="minMax"/>
          <c:max val="2020"/>
          <c:min val="20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066424"/>
        <c:crosses val="max"/>
        <c:crossBetween val="between"/>
      </c:valAx>
      <c:catAx>
        <c:axId val="492066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064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17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1466850</xdr:colOff>
      <xdr:row>13</xdr:row>
      <xdr:rowOff>52386</xdr:rowOff>
    </xdr:from>
    <xdr:to>
      <xdr:col>16</xdr:col>
      <xdr:colOff>219075</xdr:colOff>
      <xdr:row>27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C3EAF4-4E9D-47DF-832F-F48DCA200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1914525</xdr:colOff>
      <xdr:row>47</xdr:row>
      <xdr:rowOff>57150</xdr:rowOff>
    </xdr:from>
    <xdr:to>
      <xdr:col>17</xdr:col>
      <xdr:colOff>57150</xdr:colOff>
      <xdr:row>61</xdr:row>
      <xdr:rowOff>185739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06A724-2237-4FB7-B522-4E809FD8F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1FF5F-4D33-4F79-B6F3-DF0F8BA292C7}">
  <dimension ref="A2:E44"/>
  <sheetViews>
    <sheetView showGridLines="0" tabSelected="1" workbookViewId="0">
      <selection activeCell="S7" sqref="S7"/>
    </sheetView>
  </sheetViews>
  <sheetFormatPr defaultRowHeight="15" x14ac:dyDescent="0.25"/>
  <cols>
    <col min="1" max="1" width="12.85546875" bestFit="1" customWidth="1"/>
    <col min="2" max="2" width="33.28515625" bestFit="1" customWidth="1"/>
  </cols>
  <sheetData>
    <row r="2" spans="1:5" x14ac:dyDescent="0.25">
      <c r="C2" t="s">
        <v>7</v>
      </c>
      <c r="D2" t="s">
        <v>9</v>
      </c>
      <c r="E2" t="s">
        <v>8</v>
      </c>
    </row>
    <row r="3" spans="1:5" x14ac:dyDescent="0.25">
      <c r="A3" t="s">
        <v>0</v>
      </c>
      <c r="B3" t="s">
        <v>12</v>
      </c>
      <c r="C3">
        <v>2010.75</v>
      </c>
      <c r="D3">
        <f>E3-C3</f>
        <v>4.75</v>
      </c>
      <c r="E3">
        <f>2015.5</f>
        <v>2015.5</v>
      </c>
    </row>
    <row r="4" spans="1:5" x14ac:dyDescent="0.25">
      <c r="B4" t="s">
        <v>14</v>
      </c>
      <c r="C4">
        <v>2010.75</v>
      </c>
      <c r="D4">
        <f>E4-C4</f>
        <v>4.75</v>
      </c>
      <c r="E4">
        <f>2015.5</f>
        <v>2015.5</v>
      </c>
    </row>
    <row r="5" spans="1:5" x14ac:dyDescent="0.25">
      <c r="A5" t="s">
        <v>13</v>
      </c>
      <c r="B5" t="s">
        <v>10</v>
      </c>
      <c r="C5">
        <f>2014+(7/12)</f>
        <v>2014.5833333333333</v>
      </c>
      <c r="D5">
        <f t="shared" ref="D5:D6" si="0">E5-C5</f>
        <v>0.41666666666674246</v>
      </c>
      <c r="E5">
        <v>2015</v>
      </c>
    </row>
    <row r="6" spans="1:5" x14ac:dyDescent="0.25">
      <c r="B6" t="s">
        <v>11</v>
      </c>
      <c r="C6">
        <f>2014+(10/12)</f>
        <v>2014.8333333333333</v>
      </c>
      <c r="D6">
        <f t="shared" si="0"/>
        <v>0.16666666666674246</v>
      </c>
      <c r="E6">
        <v>2015</v>
      </c>
    </row>
    <row r="7" spans="1:5" x14ac:dyDescent="0.25">
      <c r="A7" t="s">
        <v>1</v>
      </c>
      <c r="B7" t="s">
        <v>2</v>
      </c>
      <c r="C7">
        <v>2015.5</v>
      </c>
      <c r="D7">
        <f t="shared" ref="D7:D10" si="1">E7-C7</f>
        <v>0.25</v>
      </c>
      <c r="E7">
        <v>2015.75</v>
      </c>
    </row>
    <row r="8" spans="1:5" x14ac:dyDescent="0.25">
      <c r="B8" t="s">
        <v>3</v>
      </c>
      <c r="C8">
        <v>2015.75</v>
      </c>
      <c r="D8">
        <f t="shared" si="1"/>
        <v>0.5</v>
      </c>
      <c r="E8">
        <v>2016.25</v>
      </c>
    </row>
    <row r="9" spans="1:5" x14ac:dyDescent="0.25">
      <c r="B9" t="s">
        <v>4</v>
      </c>
      <c r="C9">
        <v>2016.25</v>
      </c>
      <c r="D9">
        <f t="shared" si="1"/>
        <v>0.5</v>
      </c>
      <c r="E9">
        <v>2016.75</v>
      </c>
    </row>
    <row r="10" spans="1:5" x14ac:dyDescent="0.25">
      <c r="A10" t="s">
        <v>5</v>
      </c>
      <c r="B10" t="s">
        <v>6</v>
      </c>
      <c r="C10">
        <f>2016+(10/12)</f>
        <v>2016.8333333333333</v>
      </c>
      <c r="D10">
        <f t="shared" si="1"/>
        <v>2.1666666666667425</v>
      </c>
      <c r="E10">
        <v>2019</v>
      </c>
    </row>
    <row r="32" spans="3:5" x14ac:dyDescent="0.25">
      <c r="C32" t="s">
        <v>7</v>
      </c>
      <c r="D32" t="s">
        <v>9</v>
      </c>
      <c r="E32" t="s">
        <v>8</v>
      </c>
    </row>
    <row r="33" spans="1:5" x14ac:dyDescent="0.25">
      <c r="A33" t="s">
        <v>15</v>
      </c>
      <c r="B33" t="s">
        <v>16</v>
      </c>
      <c r="C33">
        <v>2015.5</v>
      </c>
      <c r="D33">
        <f t="shared" ref="D33" si="2">E33-C33</f>
        <v>3.5</v>
      </c>
      <c r="E33">
        <v>2019</v>
      </c>
    </row>
    <row r="34" spans="1:5" x14ac:dyDescent="0.25">
      <c r="B34" t="s">
        <v>17</v>
      </c>
      <c r="C34">
        <f>2014+(7/12)</f>
        <v>2014.5833333333333</v>
      </c>
      <c r="D34">
        <f t="shared" ref="D34" si="3">E34-C34</f>
        <v>0.41666666666674246</v>
      </c>
      <c r="E34">
        <v>2015</v>
      </c>
    </row>
    <row r="35" spans="1:5" x14ac:dyDescent="0.25">
      <c r="A35" t="s">
        <v>26</v>
      </c>
      <c r="B35" t="s">
        <v>18</v>
      </c>
      <c r="C35">
        <v>2010.75</v>
      </c>
      <c r="D35">
        <f t="shared" ref="D35:D43" si="4">E35-C35</f>
        <v>0.25</v>
      </c>
      <c r="E35">
        <v>2011</v>
      </c>
    </row>
    <row r="36" spans="1:5" x14ac:dyDescent="0.25">
      <c r="B36" t="s">
        <v>19</v>
      </c>
      <c r="C36">
        <v>2010.75</v>
      </c>
      <c r="D36">
        <f>E36-C36</f>
        <v>4.75</v>
      </c>
      <c r="E36">
        <f>2015.5</f>
        <v>2015.5</v>
      </c>
    </row>
    <row r="37" spans="1:5" x14ac:dyDescent="0.25">
      <c r="B37" t="s">
        <v>20</v>
      </c>
      <c r="C37">
        <v>2014</v>
      </c>
      <c r="D37">
        <f t="shared" si="4"/>
        <v>5</v>
      </c>
      <c r="E37">
        <v>2019</v>
      </c>
    </row>
    <row r="38" spans="1:5" x14ac:dyDescent="0.25">
      <c r="B38" t="s">
        <v>27</v>
      </c>
      <c r="C38">
        <v>2018</v>
      </c>
      <c r="D38">
        <f t="shared" si="4"/>
        <v>1</v>
      </c>
      <c r="E38">
        <v>2019</v>
      </c>
    </row>
    <row r="39" spans="1:5" x14ac:dyDescent="0.25">
      <c r="A39" t="s">
        <v>21</v>
      </c>
      <c r="B39" t="s">
        <v>22</v>
      </c>
      <c r="C39">
        <f>2016+(10/12)</f>
        <v>2016.8333333333333</v>
      </c>
      <c r="D39">
        <f t="shared" si="4"/>
        <v>2.1666666666667425</v>
      </c>
      <c r="E39">
        <v>2019</v>
      </c>
    </row>
    <row r="40" spans="1:5" x14ac:dyDescent="0.25">
      <c r="B40" t="s">
        <v>24</v>
      </c>
      <c r="C40">
        <v>2018</v>
      </c>
      <c r="D40">
        <f t="shared" si="4"/>
        <v>1</v>
      </c>
      <c r="E40">
        <v>2019</v>
      </c>
    </row>
    <row r="41" spans="1:5" x14ac:dyDescent="0.25">
      <c r="B41" t="s">
        <v>25</v>
      </c>
      <c r="C41">
        <v>2018</v>
      </c>
      <c r="D41">
        <f t="shared" si="4"/>
        <v>1</v>
      </c>
      <c r="E41">
        <v>2019</v>
      </c>
    </row>
    <row r="42" spans="1:5" x14ac:dyDescent="0.25">
      <c r="B42" t="s">
        <v>23</v>
      </c>
      <c r="C42">
        <v>2018</v>
      </c>
      <c r="D42">
        <f t="shared" si="4"/>
        <v>1</v>
      </c>
      <c r="E42">
        <v>2019</v>
      </c>
    </row>
    <row r="43" spans="1:5" x14ac:dyDescent="0.25">
      <c r="A43" t="s">
        <v>29</v>
      </c>
      <c r="B43" t="s">
        <v>28</v>
      </c>
      <c r="C43">
        <v>2016.25</v>
      </c>
      <c r="D43">
        <f t="shared" si="4"/>
        <v>0.5</v>
      </c>
      <c r="E43">
        <v>2016.75</v>
      </c>
    </row>
    <row r="44" spans="1:5" x14ac:dyDescent="0.25">
      <c r="B44" t="s">
        <v>30</v>
      </c>
      <c r="C44">
        <v>2015.75</v>
      </c>
      <c r="D44">
        <f t="shared" ref="D44" si="5">E44-C44</f>
        <v>3.25</v>
      </c>
      <c r="E44">
        <v>2019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Rhee</dc:creator>
  <cp:lastModifiedBy>Kurt Rhee</cp:lastModifiedBy>
  <dcterms:created xsi:type="dcterms:W3CDTF">2019-12-03T16:50:08Z</dcterms:created>
  <dcterms:modified xsi:type="dcterms:W3CDTF">2019-12-05T00:01:57Z</dcterms:modified>
</cp:coreProperties>
</file>